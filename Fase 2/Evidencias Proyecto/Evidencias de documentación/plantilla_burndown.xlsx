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7Nmen2+JXu7s7v3KHgWmk0wfOQ68R5/VPTj3Bu+M8/Q="/>
    </ext>
  </extLst>
</workbook>
</file>

<file path=xl/sharedStrings.xml><?xml version="1.0" encoding="utf-8"?>
<sst xmlns="http://schemas.openxmlformats.org/spreadsheetml/2006/main" count="15" uniqueCount="15">
  <si>
    <t>Control del Sprint</t>
  </si>
  <si>
    <t>Historias de Usuario o Spike</t>
  </si>
  <si>
    <t>horas estimadas</t>
  </si>
  <si>
    <t>DIA</t>
  </si>
  <si>
    <t>Total</t>
  </si>
  <si>
    <t>H1-T1 (Diagrama de arquitectura)</t>
  </si>
  <si>
    <t>H1-T2 (Modelo relacional)</t>
  </si>
  <si>
    <t>H1-T3 (Doc. de arquitectura)</t>
  </si>
  <si>
    <t>H2-T1 (Wireframes base)</t>
  </si>
  <si>
    <t>H2-T2 (Mockups Figma)</t>
  </si>
  <si>
    <t>H2-T3 (Diseño botón Guardar/Imprimir)</t>
  </si>
  <si>
    <t>H3-T1 (Búsqueda de imágenes)</t>
  </si>
  <si>
    <t>H3-T2 (Script Python daños)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</si>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</sst>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rgb="FF1A1B20"/>
      <name val="Robot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0" fontId="2" numFmtId="0" xfId="0" applyBorder="1" applyFont="1"/>
    <xf borderId="6" fillId="0" fontId="3" numFmtId="0" xfId="0" applyBorder="1" applyFont="1"/>
    <xf borderId="7" fillId="2" fontId="4" numFmtId="0" xfId="0" applyBorder="1" applyFill="1" applyFont="1"/>
    <xf borderId="8" fillId="2" fontId="4" numFmtId="0" xfId="0" applyAlignment="1" applyBorder="1" applyFill="1" applyFont="1">
      <alignment horizontal="right"/>
    </xf>
    <xf borderId="9" fillId="0" fontId="2" numFmtId="0" xfId="0" applyBorder="1" applyFont="1"/>
    <xf borderId="7" fillId="3" fontId="4" numFmtId="0" xfId="0" applyBorder="1" applyFill="1" applyFont="1"/>
    <xf borderId="8" fillId="3" fontId="4" numFmtId="0" xfId="0" applyAlignment="1" applyBorder="1" applyFill="1" applyFont="1">
      <alignment horizontal="right"/>
    </xf>
    <xf borderId="9" fillId="0" fontId="2" numFmtId="0" xfId="0" applyAlignment="1" applyBorder="1" applyFont="1">
      <alignment readingOrder="0"/>
    </xf>
    <xf borderId="7" fillId="2" fontId="4" numFmtId="0" xfId="0" applyBorder="1" applyFill="1" applyFont="1"/>
    <xf borderId="8" fillId="2" fontId="4" numFmtId="0" xfId="0" applyAlignment="1" applyBorder="1" applyFill="1" applyFont="1">
      <alignment horizontal="right"/>
    </xf>
    <xf borderId="9" fillId="0" fontId="5" numFmtId="0" xfId="0" applyBorder="1" applyFont="1"/>
    <xf borderId="9" fillId="0" fontId="5" numFmtId="0" xfId="0" applyAlignment="1" applyBorder="1" applyFont="1">
      <alignment readingOrder="0"/>
    </xf>
    <xf borderId="7" fillId="3" fontId="4" numFmtId="0" xfId="0" applyBorder="1" applyFill="1" applyFont="1"/>
    <xf borderId="8" fillId="3" fontId="4" numFmtId="0" xfId="0" applyAlignment="1" applyBorder="1" applyFill="1" applyFont="1">
      <alignment horizontal="right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Ejemplo1!$B$17:$V$17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Ejemplo1!$B$19:$V$19</c:f>
              <c:numCache/>
            </c:numRef>
          </c:val>
          <c:smooth val="0"/>
        </c:ser>
        <c:axId val="658148633"/>
        <c:axId val="1053161085"/>
      </c:lineChart>
      <c:catAx>
        <c:axId val="658148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3161085"/>
      </c:catAx>
      <c:valAx>
        <c:axId val="1053161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81486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257550"/>
    <xdr:graphicFrame>
      <xdr:nvGraphicFramePr>
        <xdr:cNvPr id="8648420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1" t="s">
        <v>0</v>
      </c>
    </row>
    <row r="3">
      <c r="A3" s="2" t="s">
        <v>1</v>
      </c>
      <c r="B3" s="2" t="s">
        <v>2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2" t="s">
        <v>4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7">
        <v>11.0</v>
      </c>
      <c r="N4" s="7">
        <v>12.0</v>
      </c>
      <c r="O4" s="7">
        <v>13.0</v>
      </c>
      <c r="P4" s="7">
        <v>14.0</v>
      </c>
      <c r="Q4" s="7">
        <v>15.0</v>
      </c>
      <c r="R4" s="7">
        <v>16.0</v>
      </c>
      <c r="S4" s="7">
        <v>17.0</v>
      </c>
      <c r="T4" s="7">
        <v>18.0</v>
      </c>
      <c r="U4" s="7">
        <v>19.0</v>
      </c>
      <c r="V4" s="7">
        <v>20.0</v>
      </c>
      <c r="W4" s="8"/>
    </row>
    <row r="5">
      <c r="A5" s="9" t="s">
        <v>5</v>
      </c>
      <c r="B5" s="10">
        <v>6.0</v>
      </c>
      <c r="C5" s="11">
        <v>2.0</v>
      </c>
      <c r="D5" s="11">
        <v>2.0</v>
      </c>
      <c r="E5" s="11">
        <v>2.0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>
        <f t="shared" ref="W5:W12" si="1">SUM(C5:V5)</f>
        <v>6</v>
      </c>
    </row>
    <row r="6">
      <c r="A6" s="12" t="s">
        <v>6</v>
      </c>
      <c r="B6" s="13">
        <v>5.0</v>
      </c>
      <c r="C6" s="11">
        <v>6.0</v>
      </c>
      <c r="D6" s="11">
        <v>4.0</v>
      </c>
      <c r="E6" s="11">
        <v>2.0</v>
      </c>
      <c r="F6" s="11">
        <v>2.0</v>
      </c>
      <c r="G6" s="11"/>
      <c r="H6" s="11">
        <v>2.0</v>
      </c>
      <c r="I6" s="11">
        <v>2.0</v>
      </c>
      <c r="J6" s="11"/>
      <c r="K6" s="11">
        <v>2.0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>
        <v>1.0</v>
      </c>
      <c r="W6" s="11">
        <f t="shared" si="1"/>
        <v>21</v>
      </c>
    </row>
    <row r="7">
      <c r="A7" s="9" t="s">
        <v>7</v>
      </c>
      <c r="B7" s="10">
        <v>4.0</v>
      </c>
      <c r="C7" s="11"/>
      <c r="D7" s="11"/>
      <c r="E7" s="11">
        <v>6.0</v>
      </c>
      <c r="F7" s="11">
        <v>6.0</v>
      </c>
      <c r="G7" s="11">
        <v>8.0</v>
      </c>
      <c r="H7" s="11">
        <v>3.0</v>
      </c>
      <c r="I7" s="11">
        <v>3.0</v>
      </c>
      <c r="J7" s="11">
        <v>3.0</v>
      </c>
      <c r="K7" s="11">
        <v>2.0</v>
      </c>
      <c r="L7" s="11"/>
      <c r="M7" s="11"/>
      <c r="N7" s="11"/>
      <c r="O7" s="11"/>
      <c r="P7" s="11"/>
      <c r="Q7" s="11"/>
      <c r="R7" s="11"/>
      <c r="S7" s="11"/>
      <c r="T7" s="11"/>
      <c r="U7" s="11">
        <v>1.0</v>
      </c>
      <c r="V7" s="11">
        <v>1.0</v>
      </c>
      <c r="W7" s="11">
        <f t="shared" si="1"/>
        <v>33</v>
      </c>
    </row>
    <row r="8">
      <c r="A8" s="12" t="s">
        <v>8</v>
      </c>
      <c r="B8" s="13">
        <v>4.0</v>
      </c>
      <c r="C8" s="11"/>
      <c r="D8" s="11"/>
      <c r="E8" s="11"/>
      <c r="F8" s="11"/>
      <c r="G8" s="11"/>
      <c r="H8" s="11"/>
      <c r="I8" s="11"/>
      <c r="J8" s="11"/>
      <c r="K8" s="11"/>
      <c r="L8" s="14">
        <v>4.0</v>
      </c>
      <c r="M8" s="11"/>
      <c r="N8" s="14">
        <v>2.0</v>
      </c>
      <c r="O8" s="11">
        <v>2.0</v>
      </c>
      <c r="P8" s="11">
        <v>2.0</v>
      </c>
      <c r="Q8" s="11"/>
      <c r="R8" s="11"/>
      <c r="S8" s="11"/>
      <c r="T8" s="11"/>
      <c r="U8" s="11">
        <v>5.0</v>
      </c>
      <c r="V8" s="11">
        <v>1.0</v>
      </c>
      <c r="W8" s="11">
        <f t="shared" si="1"/>
        <v>16</v>
      </c>
    </row>
    <row r="9">
      <c r="A9" s="9" t="s">
        <v>9</v>
      </c>
      <c r="B9" s="10">
        <v>6.0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4">
        <v>3.0</v>
      </c>
      <c r="N9" s="14">
        <v>5.0</v>
      </c>
      <c r="O9" s="11"/>
      <c r="P9" s="11"/>
      <c r="Q9" s="11"/>
      <c r="R9" s="11"/>
      <c r="S9" s="11"/>
      <c r="T9" s="11"/>
      <c r="U9" s="11">
        <v>1.0</v>
      </c>
      <c r="V9" s="11">
        <v>1.0</v>
      </c>
      <c r="W9" s="11">
        <f t="shared" si="1"/>
        <v>10</v>
      </c>
    </row>
    <row r="10">
      <c r="A10" s="12" t="s">
        <v>10</v>
      </c>
      <c r="B10" s="13">
        <v>2.0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2.0</v>
      </c>
      <c r="Q10" s="14">
        <v>3.0</v>
      </c>
      <c r="R10" s="11"/>
      <c r="S10" s="11"/>
      <c r="T10" s="11"/>
      <c r="U10" s="11"/>
      <c r="V10" s="11">
        <v>1.0</v>
      </c>
      <c r="W10" s="11">
        <f t="shared" si="1"/>
        <v>6</v>
      </c>
    </row>
    <row r="11">
      <c r="A11" s="15" t="s">
        <v>11</v>
      </c>
      <c r="B11" s="16">
        <v>8.0</v>
      </c>
      <c r="C11" s="17"/>
      <c r="D11" s="17"/>
      <c r="E11" s="17"/>
      <c r="F11" s="11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8">
        <v>2.0</v>
      </c>
      <c r="S11" s="18">
        <v>4.0</v>
      </c>
      <c r="T11" s="18">
        <v>2.0</v>
      </c>
      <c r="U11" s="17"/>
      <c r="V11" s="17"/>
      <c r="W11" s="11">
        <f t="shared" si="1"/>
        <v>8</v>
      </c>
    </row>
    <row r="12">
      <c r="A12" s="19" t="s">
        <v>12</v>
      </c>
      <c r="B12" s="20">
        <v>7.0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>
        <v>2.0</v>
      </c>
      <c r="T12" s="18">
        <v>4.0</v>
      </c>
      <c r="U12" s="18">
        <v>1.0</v>
      </c>
      <c r="V12" s="17"/>
      <c r="W12" s="11">
        <f t="shared" si="1"/>
        <v>7</v>
      </c>
    </row>
    <row r="16">
      <c r="A16" s="21"/>
      <c r="B16" s="22"/>
      <c r="C16" s="21"/>
      <c r="D16" s="21"/>
      <c r="E16" s="21"/>
      <c r="F16" s="21"/>
      <c r="G16" s="21"/>
      <c r="H16" s="21"/>
      <c r="I16" s="21"/>
    </row>
    <row r="17">
      <c r="A17" s="23" t="s">
        <v>13</v>
      </c>
      <c r="B17" s="24">
        <f>SUM(B5:B12)</f>
        <v>42</v>
      </c>
      <c r="C17" s="24">
        <f>B17-SUM(C5:C12)</f>
        <v>34</v>
      </c>
      <c r="D17" s="24">
        <f>B17-SUM(D5:D12)</f>
        <v>36</v>
      </c>
      <c r="E17" s="24">
        <f t="shared" ref="E17:V17" si="2">D17-SUM(E5:E12)</f>
        <v>26</v>
      </c>
      <c r="F17" s="24">
        <f t="shared" si="2"/>
        <v>18</v>
      </c>
      <c r="G17" s="24">
        <f t="shared" si="2"/>
        <v>10</v>
      </c>
      <c r="H17" s="24">
        <f t="shared" si="2"/>
        <v>5</v>
      </c>
      <c r="I17" s="24">
        <f t="shared" si="2"/>
        <v>0</v>
      </c>
      <c r="J17" s="24">
        <f t="shared" si="2"/>
        <v>-3</v>
      </c>
      <c r="K17" s="24">
        <f t="shared" si="2"/>
        <v>-7</v>
      </c>
      <c r="L17" s="24">
        <f t="shared" si="2"/>
        <v>-11</v>
      </c>
      <c r="M17" s="24">
        <f t="shared" si="2"/>
        <v>-14</v>
      </c>
      <c r="N17" s="24">
        <f t="shared" si="2"/>
        <v>-21</v>
      </c>
      <c r="O17" s="24">
        <f t="shared" si="2"/>
        <v>-23</v>
      </c>
      <c r="P17" s="24">
        <f t="shared" si="2"/>
        <v>-27</v>
      </c>
      <c r="Q17" s="24">
        <f t="shared" si="2"/>
        <v>-30</v>
      </c>
      <c r="R17" s="24">
        <f t="shared" si="2"/>
        <v>-32</v>
      </c>
      <c r="S17" s="24">
        <f t="shared" si="2"/>
        <v>-38</v>
      </c>
      <c r="T17" s="24">
        <f t="shared" si="2"/>
        <v>-44</v>
      </c>
      <c r="U17" s="24">
        <f t="shared" si="2"/>
        <v>-52</v>
      </c>
      <c r="V17" s="24">
        <f t="shared" si="2"/>
        <v>-57</v>
      </c>
    </row>
    <row r="19">
      <c r="A19" s="23" t="s">
        <v>14</v>
      </c>
      <c r="B19" s="24">
        <f>SUM(B5:B12)</f>
        <v>42</v>
      </c>
      <c r="C19" s="24">
        <f t="shared" ref="C19:V19" si="3">B19-(SUM($B$5:$B$12)/20)</f>
        <v>39.9</v>
      </c>
      <c r="D19" s="24">
        <f t="shared" si="3"/>
        <v>37.8</v>
      </c>
      <c r="E19" s="24">
        <f t="shared" si="3"/>
        <v>35.7</v>
      </c>
      <c r="F19" s="24">
        <f t="shared" si="3"/>
        <v>33.6</v>
      </c>
      <c r="G19" s="24">
        <f t="shared" si="3"/>
        <v>31.5</v>
      </c>
      <c r="H19" s="24">
        <f t="shared" si="3"/>
        <v>29.4</v>
      </c>
      <c r="I19" s="24">
        <f t="shared" si="3"/>
        <v>27.3</v>
      </c>
      <c r="J19" s="24">
        <f t="shared" si="3"/>
        <v>25.2</v>
      </c>
      <c r="K19" s="24">
        <f t="shared" si="3"/>
        <v>23.1</v>
      </c>
      <c r="L19" s="24">
        <f t="shared" si="3"/>
        <v>21</v>
      </c>
      <c r="M19" s="24">
        <f t="shared" si="3"/>
        <v>18.9</v>
      </c>
      <c r="N19" s="24">
        <f t="shared" si="3"/>
        <v>16.8</v>
      </c>
      <c r="O19" s="24">
        <f t="shared" si="3"/>
        <v>14.7</v>
      </c>
      <c r="P19" s="24">
        <f t="shared" si="3"/>
        <v>12.6</v>
      </c>
      <c r="Q19" s="24">
        <f t="shared" si="3"/>
        <v>10.5</v>
      </c>
      <c r="R19" s="24">
        <f t="shared" si="3"/>
        <v>8.4</v>
      </c>
      <c r="S19" s="24">
        <f t="shared" si="3"/>
        <v>6.3</v>
      </c>
      <c r="T19" s="24">
        <f t="shared" si="3"/>
        <v>4.2</v>
      </c>
      <c r="U19" s="24">
        <f t="shared" si="3"/>
        <v>2.1</v>
      </c>
      <c r="V19" s="24">
        <f t="shared" si="3"/>
        <v>0</v>
      </c>
    </row>
    <row r="20">
      <c r="A20" s="21"/>
      <c r="B20" s="22"/>
      <c r="C20" s="21"/>
      <c r="D20" s="21"/>
      <c r="E20" s="21"/>
      <c r="F20" s="21"/>
      <c r="G20" s="22"/>
      <c r="H20" s="21"/>
      <c r="I20" s="21"/>
    </row>
    <row r="21" ht="15.75" customHeight="1">
      <c r="A21" s="21"/>
      <c r="B21" s="22"/>
      <c r="C21" s="21"/>
      <c r="D21" s="21"/>
      <c r="E21" s="21"/>
      <c r="F21" s="21"/>
      <c r="G21" s="22"/>
      <c r="H21" s="21"/>
      <c r="I21" s="21"/>
    </row>
    <row r="22" ht="15.75" customHeight="1">
      <c r="A22" s="21"/>
      <c r="B22" s="22"/>
      <c r="C22" s="21"/>
      <c r="D22" s="21"/>
      <c r="E22" s="21"/>
      <c r="F22" s="21"/>
      <c r="G22" s="22"/>
      <c r="H22" s="21"/>
      <c r="I22" s="21"/>
    </row>
    <row r="23" ht="15.75" customHeight="1">
      <c r="A23" s="21"/>
      <c r="B23" s="22"/>
      <c r="C23" s="21"/>
      <c r="D23" s="21"/>
      <c r="E23" s="21"/>
      <c r="F23" s="21"/>
      <c r="G23" s="21"/>
      <c r="H23" s="21"/>
      <c r="I23" s="21"/>
    </row>
    <row r="24" ht="15.75" customHeight="1">
      <c r="A24" s="21"/>
      <c r="B24" s="22"/>
      <c r="C24" s="21"/>
      <c r="D24" s="21"/>
      <c r="E24" s="21"/>
      <c r="F24" s="21"/>
      <c r="G24" s="21"/>
      <c r="H24" s="21"/>
      <c r="I24" s="21"/>
    </row>
    <row r="25" ht="15.75" customHeight="1">
      <c r="A25" s="21"/>
      <c r="B25" s="22"/>
      <c r="C25" s="21"/>
      <c r="D25" s="21"/>
      <c r="E25" s="21"/>
      <c r="F25" s="21"/>
      <c r="G25" s="21"/>
      <c r="H25" s="21"/>
      <c r="I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